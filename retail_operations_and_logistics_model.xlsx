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_Dashboard" sheetId="1" r:id="rId5"/>
    <sheet state="visible" name="Transactions_Model" sheetId="2" r:id="rId6"/>
    <sheet state="visible" name="Lookup_Dimensions" sheetId="3" r:id="rId7"/>
    <sheet state="visible" name="SQL_Pipeline_Documentation" sheetId="4" r:id="rId8"/>
  </sheets>
  <definedNames/>
  <calcPr/>
</workbook>
</file>

<file path=xl/sharedStrings.xml><?xml version="1.0" encoding="utf-8"?>
<sst xmlns="http://schemas.openxmlformats.org/spreadsheetml/2006/main" count="217" uniqueCount="146">
  <si>
    <t>Portfolio Project: Retail &amp; Logistics Operations Analysis</t>
  </si>
  <si>
    <t>Built by Ahmad Yasser Morsy | Core Focus: E-Commerce Fulfillment, Channel Margin &amp; Delay Reduction</t>
  </si>
  <si>
    <t>Total GMV</t>
  </si>
  <si>
    <t>Total Net Profit</t>
  </si>
  <si>
    <t>Blended Net Margin %</t>
  </si>
  <si>
    <t>Total Orders</t>
  </si>
  <si>
    <t>SLA On-Time Delivery Rate %</t>
  </si>
  <si>
    <t>Total Units Sold</t>
  </si>
  <si>
    <t>Channel</t>
  </si>
  <si>
    <t>GMV</t>
  </si>
  <si>
    <t>Net Profit</t>
  </si>
  <si>
    <t>Net Margin %</t>
  </si>
  <si>
    <t>Return Rate %</t>
  </si>
  <si>
    <t>Primary Takeaway</t>
  </si>
  <si>
    <t>Direct Online</t>
  </si>
  <si>
    <t>Highest margin, but needs volume growth.</t>
  </si>
  <si>
    <t>Marketplace</t>
  </si>
  <si>
    <t>Good volume, but SLA risks are higher.</t>
  </si>
  <si>
    <t>B2B Wholesale</t>
  </si>
  <si>
    <t>Strong revenue driver, low return rate.</t>
  </si>
  <si>
    <t>Region/Hub</t>
  </si>
  <si>
    <t>Shipments</t>
  </si>
  <si>
    <t>Avg Transit Days</t>
  </si>
  <si>
    <t>On-Time %</t>
  </si>
  <si>
    <t>Delay Risk Tier</t>
  </si>
  <si>
    <t>Actionable Recommendation</t>
  </si>
  <si>
    <t>REG-CAI</t>
  </si>
  <si>
    <t>Maintain current courier contracts.</t>
  </si>
  <si>
    <t>REG-ALX</t>
  </si>
  <si>
    <t>Monitor closely; slight delays observed.</t>
  </si>
  <si>
    <t>REG-CAN</t>
  </si>
  <si>
    <t>Renegotiate SLA terms with regional carrier.</t>
  </si>
  <si>
    <t>REG-UPP</t>
  </si>
  <si>
    <t>Consider local fulfillment hub to reduce transit.</t>
  </si>
  <si>
    <t>Executive Takeaways &amp; Action Plan</t>
  </si>
  <si>
    <t>1. Margin Leakage: High discount rates in B2B Wholesale are impacting overall profitability.</t>
  </si>
  <si>
    <t>2. Courier SLA Renegotiation: Upper Egypt (REG-UPP) consistently misses SLA targets, requiring immediate courier review.</t>
  </si>
  <si>
    <t>3. Stock Rebalancing: High return rates in Marketplace channel suggest product quality or listing accuracy issues.</t>
  </si>
  <si>
    <t>Order_ID</t>
  </si>
  <si>
    <t>Order_Date</t>
  </si>
  <si>
    <t>SKU</t>
  </si>
  <si>
    <t>Category</t>
  </si>
  <si>
    <t>Units_Sold</t>
  </si>
  <si>
    <t>Unit_List_Price</t>
  </si>
  <si>
    <t>Unit_Cost</t>
  </si>
  <si>
    <t>Discount_Amt</t>
  </si>
  <si>
    <t>Order_Status</t>
  </si>
  <si>
    <t>Shipping_Region</t>
  </si>
  <si>
    <t>Transit_Days</t>
  </si>
  <si>
    <t>Promised_Days</t>
  </si>
  <si>
    <t>Delay_Variance</t>
  </si>
  <si>
    <t>Net_Revenue</t>
  </si>
  <si>
    <t>Gross_Profit</t>
  </si>
  <si>
    <t>Notes_Annotations</t>
  </si>
  <si>
    <t>ORD-1001</t>
  </si>
  <si>
    <t>SKU-101</t>
  </si>
  <si>
    <t>Delivered</t>
  </si>
  <si>
    <t>Standard delivery</t>
  </si>
  <si>
    <t>ORD-1002</t>
  </si>
  <si>
    <t>SKU-102</t>
  </si>
  <si>
    <t>Delayed by courier</t>
  </si>
  <si>
    <t>ORD-1003</t>
  </si>
  <si>
    <t>SKU-107</t>
  </si>
  <si>
    <t>Bulk order</t>
  </si>
  <si>
    <t>ORD-1004</t>
  </si>
  <si>
    <t>SKU-103</t>
  </si>
  <si>
    <t>Returned</t>
  </si>
  <si>
    <t>Customer changed mind</t>
  </si>
  <si>
    <t>ORD-1005</t>
  </si>
  <si>
    <t>SKU-104</t>
  </si>
  <si>
    <t>Weather delay</t>
  </si>
  <si>
    <t>ORD-1006</t>
  </si>
  <si>
    <t>SKU-105</t>
  </si>
  <si>
    <t>Shipped</t>
  </si>
  <si>
    <t>In transit</t>
  </si>
  <si>
    <t>ORD-1007</t>
  </si>
  <si>
    <t>VIP Client</t>
  </si>
  <si>
    <t>ORD-1008</t>
  </si>
  <si>
    <t>SKU-106</t>
  </si>
  <si>
    <t>Missed SLA</t>
  </si>
  <si>
    <t>ORD-1009</t>
  </si>
  <si>
    <t>Defective item</t>
  </si>
  <si>
    <t>ORD-1010</t>
  </si>
  <si>
    <t>Restock order</t>
  </si>
  <si>
    <t>ORD-1011</t>
  </si>
  <si>
    <t>On time</t>
  </si>
  <si>
    <t>ORD-1012</t>
  </si>
  <si>
    <t>ORD-1013</t>
  </si>
  <si>
    <t>Major delay</t>
  </si>
  <si>
    <t>ORD-1014</t>
  </si>
  <si>
    <t>Early delivery</t>
  </si>
  <si>
    <t>ORD-1015</t>
  </si>
  <si>
    <t>Corporate gift</t>
  </si>
  <si>
    <t>Product_Name</t>
  </si>
  <si>
    <t>Standard_Price</t>
  </si>
  <si>
    <t>Supplier_Lead_Time_Days</t>
  </si>
  <si>
    <t>Region_Code</t>
  </si>
  <si>
    <t>Region_Name</t>
  </si>
  <si>
    <t>SLA_Target_Days</t>
  </si>
  <si>
    <t>Baseline_Shipping_Cost</t>
  </si>
  <si>
    <t>Electronics</t>
  </si>
  <si>
    <t>Wireless Ergonomic Mouse</t>
  </si>
  <si>
    <t>Greater Cairo</t>
  </si>
  <si>
    <t>Mechanical Keyboard</t>
  </si>
  <si>
    <t>Alexandria &amp; Delta</t>
  </si>
  <si>
    <t>Apparel</t>
  </si>
  <si>
    <t>Performance Athletic Hoodie</t>
  </si>
  <si>
    <t>Canal &amp; Sinai</t>
  </si>
  <si>
    <t>Breathable Training Shorts</t>
  </si>
  <si>
    <t>Upper Egypt</t>
  </si>
  <si>
    <t>Logistics &amp; Gear</t>
  </si>
  <si>
    <t>Multi-Compartment Courier Bag</t>
  </si>
  <si>
    <t>High-Visibility LED Bike Lamp</t>
  </si>
  <si>
    <t>Home &amp; Storage</t>
  </si>
  <si>
    <t>Modular Stackable Bins (4-Pack)</t>
  </si>
  <si>
    <t>Annotated Formula Guide: Data Hygiene &amp; Lookups</t>
  </si>
  <si>
    <t>XLOOKUP / VLOOKUP: Used in Transactions_Model to pull Unit_Cost and Category based on SKU. Ensures consistency by centralizing product attributes, reducing manual entry errors.</t>
  </si>
  <si>
    <t>SUMIFS: Used in Executive_Dashboard to aggregate GMV and Net Profit by Channel. It allows for dynamic summarization without needing manual pivot table refreshes.</t>
  </si>
  <si>
    <t>IF Logic: Used to zero out Net Revenue for 'Returned' orders, ensuring accurate net calculations.</t>
  </si>
  <si>
    <t>Data Hygiene: Centralized dimension tables (Products, Regions) act as the source of truth, avoiding anomalies in raw operational data.</t>
  </si>
  <si>
    <t>SQL Pipeline Documentation: Multi-Table E-Commerce Architecture</t>
  </si>
  <si>
    <t>CTE 1: Order_Turnaround_Base</t>
  </si>
  <si>
    <t>Extracts duration, date differences, and fulfillment SLA categorization.</t>
  </si>
  <si>
    <t>WITH Order_Turnaround_Base AS (</t>
  </si>
  <si>
    <t xml:space="preserve">  SELECT Order_ID, Order_Date, Channel, Transit_Days,</t>
  </si>
  <si>
    <t xml:space="preserve">  CASE WHEN Transit_Days &lt;= SLA_Target_Days THEN 'On-Time' ELSE 'Delayed' END AS SLA_Status</t>
  </si>
  <si>
    <t xml:space="preserve">  FROM raw_orders JOIN dim_regions ON raw_orders.Shipping_Region = dim_regions.Region_Code</t>
  </si>
  <si>
    <t>),</t>
  </si>
  <si>
    <t>CTE 2: Customer_Order_History</t>
  </si>
  <si>
    <t>Uses window functions (DENSE_RANK) partitioned by state for customer lifetime aggregations.</t>
  </si>
  <si>
    <t>Customer_Order_History AS (</t>
  </si>
  <si>
    <t xml:space="preserve">  SELECT Order_ID, Customer_ID, Shipping_Region,</t>
  </si>
  <si>
    <t xml:space="preserve">  DENSE_RANK() OVER (PARTITION BY Shipping_Region ORDER BY Order_Date DESC) as regional_rank</t>
  </si>
  <si>
    <t xml:space="preserve">  FROM Order_Turnaround_Base</t>
  </si>
  <si>
    <t>CTE 3: Corridor_Delay_Analysis</t>
  </si>
  <si>
    <t>Applies HAVING filters to identify state-level delay percentages.</t>
  </si>
  <si>
    <t>Corridor_Delay_Analysis AS (</t>
  </si>
  <si>
    <t xml:space="preserve">  SELECT Shipping_Region, COUNT(*) as Total_Orders, SUM(CASE WHEN SLA_Status = 'Delayed' THEN 1 ELSE 0 END) / COUNT(*) as Delay_Rate</t>
  </si>
  <si>
    <t xml:space="preserve">  FROM Order_Turnaround_Base GROUP BY Shipping_Region HAVING Delay_Rate &gt; 0.1</t>
  </si>
  <si>
    <t>)</t>
  </si>
  <si>
    <t>Final Query &amp; Strategic Output</t>
  </si>
  <si>
    <t>Joins CTEs to output the final actionable dataset for executive review.</t>
  </si>
  <si>
    <t>SELECT c.Shipping_Region, c.Delay_Rate, h.Customer_ID</t>
  </si>
  <si>
    <t>FROM Corridor_Delay_Analysis c</t>
  </si>
  <si>
    <t>LEFT JOIN Customer_Order_History h ON c.Shipping_Region = h.Shipping_Region</t>
  </si>
  <si>
    <t>WHERE h.regional_rank = 1;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</si>
</sst>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sz val="16.0"/>
      <color rgb="FF1A1B20"/>
      <name val="Montserrat"/>
    </font>
    <font>
      <sz val="10.0"/>
      <color rgb="FF1A1B20"/>
      <name val="Roboto"/>
    </font>
    <font>
      <b/>
      <sz val="11.0"/>
      <color rgb="FFFFFFFF"/>
      <name val="Montserrat"/>
    </font>
    <font>
      <b/>
      <sz val="14.0"/>
      <color rgb="FF1A1B2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4B5C92"/>
        <bgColor rgb="FF4B5C92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4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B5C92"/>
          <bgColor rgb="FF4B5C92"/>
        </patternFill>
      </fill>
      <border/>
    </dxf>
    <dxf>
      <font/>
      <fill>
        <patternFill patternType="solid">
          <fgColor rgb="FFF9F8FF"/>
          <bgColor rgb="FFF9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5">
    <tableStyle count="3" pivot="0" name="Executive_Dashboard-style">
      <tableStyleElement dxfId="1" type="headerRow"/>
      <tableStyleElement dxfId="2" type="firstRowStripe"/>
      <tableStyleElement dxfId="3" type="secondRowStripe"/>
    </tableStyle>
    <tableStyle count="3" pivot="0" name="Executive_Dashboard-style 2">
      <tableStyleElement dxfId="1" type="headerRow"/>
      <tableStyleElement dxfId="2" type="firstRowStripe"/>
      <tableStyleElement dxfId="3" type="secondRowStripe"/>
    </tableStyle>
    <tableStyle count="3" pivot="0" name="Transactions_Model-style">
      <tableStyleElement dxfId="1" type="headerRow"/>
      <tableStyleElement dxfId="2" type="firstRowStripe"/>
      <tableStyleElement dxfId="3" type="secondRowStripe"/>
    </tableStyle>
    <tableStyle count="3" pivot="0" name="Lookup_Dimensions-style">
      <tableStyleElement dxfId="1" type="headerRow"/>
      <tableStyleElement dxfId="2" type="firstRowStripe"/>
      <tableStyleElement dxfId="3" type="secondRowStripe"/>
    </tableStyle>
    <tableStyle count="3" pivot="0" name="Lookup_Dimensions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8:G11" displayName="Table_1" name="Table_1" id="1">
  <tableColumns count="7">
    <tableColumn name="Channel" id="1"/>
    <tableColumn name="Total Orders" id="2"/>
    <tableColumn name="GMV" id="3"/>
    <tableColumn name="Net Profit" id="4"/>
    <tableColumn name="Net Margin %" id="5"/>
    <tableColumn name="Return Rate %" id="6"/>
    <tableColumn name="Primary Takeaway" id="7"/>
  </tableColumns>
  <tableStyleInfo name="Executive_Dashboard-style" showColumnStripes="0" showFirstColumn="1" showLastColumn="1" showRowStripes="1"/>
</table>
</file>

<file path=xl/tables/table2.xml><?xml version="1.0" encoding="utf-8"?>
<table xmlns="http://schemas.openxmlformats.org/spreadsheetml/2006/main" ref="A14:F18" displayName="Table_2" name="Table_2" id="2">
  <tableColumns count="6">
    <tableColumn name="Region/Hub" id="1"/>
    <tableColumn name="Shipments" id="2"/>
    <tableColumn name="Avg Transit Days" id="3"/>
    <tableColumn name="On-Time %" id="4"/>
    <tableColumn name="Delay Risk Tier" id="5"/>
    <tableColumn name="Actionable Recommendation" id="6"/>
  </tableColumns>
  <tableStyleInfo name="Executive_Dashboard-style 2" showColumnStripes="0" showFirstColumn="1" showLastColumn="1" showRowStripes="1"/>
</table>
</file>

<file path=xl/tables/table3.xml><?xml version="1.0" encoding="utf-8"?>
<table xmlns="http://schemas.openxmlformats.org/spreadsheetml/2006/main" ref="A1:Q16" displayName="Table_3" name="Table_3" id="3">
  <tableColumns count="17">
    <tableColumn name="Order_ID" id="1"/>
    <tableColumn name="Order_Date" id="2"/>
    <tableColumn name="Channel" id="3"/>
    <tableColumn name="SKU" id="4"/>
    <tableColumn name="Category" id="5"/>
    <tableColumn name="Units_Sold" id="6"/>
    <tableColumn name="Unit_List_Price" id="7"/>
    <tableColumn name="Unit_Cost" id="8"/>
    <tableColumn name="Discount_Amt" id="9"/>
    <tableColumn name="Order_Status" id="10"/>
    <tableColumn name="Shipping_Region" id="11"/>
    <tableColumn name="Transit_Days" id="12"/>
    <tableColumn name="Promised_Days" id="13"/>
    <tableColumn name="Delay_Variance" id="14"/>
    <tableColumn name="Net_Revenue" id="15"/>
    <tableColumn name="Gross_Profit" id="16"/>
    <tableColumn name="Notes_Annotations" id="17"/>
  </tableColumns>
  <tableStyleInfo name="Transactions_Model-style" showColumnStripes="0" showFirstColumn="1" showLastColumn="1" showRowStripes="1"/>
</table>
</file>

<file path=xl/tables/table4.xml><?xml version="1.0" encoding="utf-8"?>
<table xmlns="http://schemas.openxmlformats.org/spreadsheetml/2006/main" ref="A1:F8" displayName="Table_4" name="Table_4" id="4">
  <tableColumns count="6">
    <tableColumn name="SKU" id="1"/>
    <tableColumn name="Category" id="2"/>
    <tableColumn name="Product_Name" id="3"/>
    <tableColumn name="Unit_Cost" id="4"/>
    <tableColumn name="Standard_Price" id="5"/>
    <tableColumn name="Supplier_Lead_Time_Days" id="6"/>
  </tableColumns>
  <tableStyleInfo name="Lookup_Dimensions-style" showColumnStripes="0" showFirstColumn="1" showLastColumn="1" showRowStripes="1"/>
</table>
</file>

<file path=xl/tables/table5.xml><?xml version="1.0" encoding="utf-8"?>
<table xmlns="http://schemas.openxmlformats.org/spreadsheetml/2006/main" ref="H1:K5" displayName="Table_5" name="Table_5" id="5">
  <tableColumns count="4">
    <tableColumn name="Region_Code" id="1"/>
    <tableColumn name="Region_Name" id="2"/>
    <tableColumn name="SLA_Target_Days" id="3"/>
    <tableColumn name="Baseline_Shipping_Cost" id="4"/>
  </tableColumns>
  <tableStyleInfo name="Lookup_Dimension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8.75"/>
    <col customWidth="1" min="2" max="2" width="13.13"/>
    <col customWidth="1" min="3" max="3" width="18.63"/>
    <col customWidth="1" min="4" max="4" width="11.38"/>
    <col customWidth="1" min="5" max="5" width="24.5"/>
    <col customWidth="1" min="6" max="6" width="34.63"/>
    <col customWidth="1" min="7" max="7" width="31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>
        <f>SUM(Transactions_Model!O2:O16)</f>
        <v>7027.08</v>
      </c>
      <c r="B5" s="5">
        <f>SUM(Transactions_Model!P2:P16)</f>
        <v>3822.58</v>
      </c>
      <c r="C5" s="5">
        <f>B5/A5</f>
        <v>0.5439784377</v>
      </c>
      <c r="D5" s="5">
        <f>COUNTA(Transactions_Model!A2:A16)</f>
        <v>15</v>
      </c>
      <c r="E5" s="5">
        <f>COUNTIF(Transactions_Model!N2:N16, "&lt;=0")/D5</f>
        <v>0.7333333333</v>
      </c>
      <c r="F5" s="5">
        <f>SUM(Transactions_Model!F2:F16)</f>
        <v>201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8</v>
      </c>
      <c r="B8" s="6" t="s">
        <v>5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 t="s">
        <v>14</v>
      </c>
      <c r="B9" s="8">
        <f>COUNTIF(Transactions_Model!$C$2:$C$16, A9)</f>
        <v>6</v>
      </c>
      <c r="C9" s="8">
        <f>SUMIFS(Transactions_Model!$O$2:$O$16, Transactions_Model!$C$2:$C$16, A9)</f>
        <v>287.43</v>
      </c>
      <c r="D9" s="8">
        <f>SUMIFS(Transactions_Model!$P$2:$P$16, Transactions_Model!$C$2:$C$16, A9)</f>
        <v>110.43</v>
      </c>
      <c r="E9" s="8">
        <f t="shared" ref="E9:E11" si="1">IFERROR(D9/C9, 0)</f>
        <v>0.3841978917</v>
      </c>
      <c r="F9" s="8">
        <f>COUNTIFS(Transactions_Model!$C$2:$C$16, A9, Transactions_Model!$J$2:$J$16, "Returned")/B9</f>
        <v>0.3333333333</v>
      </c>
      <c r="G9" s="7" t="s">
        <v>15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 t="s">
        <v>16</v>
      </c>
      <c r="B10" s="8">
        <f>COUNTIF(Transactions_Model!$C$2:$C$16, A10)</f>
        <v>5</v>
      </c>
      <c r="C10" s="8">
        <f>SUMIFS(Transactions_Model!$O$2:$O$16, Transactions_Model!$C$2:$C$16, A10)</f>
        <v>339.95</v>
      </c>
      <c r="D10" s="8">
        <f>SUMIFS(Transactions_Model!$P$2:$P$16, Transactions_Model!$C$2:$C$16, A10)</f>
        <v>202.45</v>
      </c>
      <c r="E10" s="8">
        <f t="shared" si="1"/>
        <v>0.5955287542</v>
      </c>
      <c r="F10" s="8">
        <f>COUNTIFS(Transactions_Model!$C$2:$C$16, A10, Transactions_Model!$J$2:$J$16, "Returned")/B10</f>
        <v>0</v>
      </c>
      <c r="G10" s="7" t="s">
        <v>17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 t="s">
        <v>18</v>
      </c>
      <c r="B11" s="8">
        <f>COUNTIF(Transactions_Model!$C$2:$C$16, A11)</f>
        <v>4</v>
      </c>
      <c r="C11" s="8">
        <f>SUMIFS(Transactions_Model!$O$2:$O$16, Transactions_Model!$C$2:$C$16, A11)</f>
        <v>6399.7</v>
      </c>
      <c r="D11" s="8">
        <f>SUMIFS(Transactions_Model!$P$2:$P$16, Transactions_Model!$C$2:$C$16, A11)</f>
        <v>3509.7</v>
      </c>
      <c r="E11" s="8">
        <f t="shared" si="1"/>
        <v>0.548416332</v>
      </c>
      <c r="F11" s="8">
        <f>COUNTIFS(Transactions_Model!$C$2:$C$16, A11, Transactions_Model!$J$2:$J$16, "Returned")/B11</f>
        <v>0</v>
      </c>
      <c r="G11" s="7" t="s">
        <v>19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s">
        <v>20</v>
      </c>
      <c r="B14" s="6" t="s">
        <v>21</v>
      </c>
      <c r="C14" s="6" t="s">
        <v>22</v>
      </c>
      <c r="D14" s="6" t="s">
        <v>23</v>
      </c>
      <c r="E14" s="6" t="s">
        <v>24</v>
      </c>
      <c r="F14" s="6" t="s">
        <v>25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 t="s">
        <v>26</v>
      </c>
      <c r="B15" s="8">
        <f>COUNTIF(Transactions_Model!$K$2:$K$16, A15)</f>
        <v>5</v>
      </c>
      <c r="C15" s="8">
        <f>AVERAGEIF(Transactions_Model!$K$2:$K$16, A15, Transactions_Model!$L$2:$L$16)</f>
        <v>1.8</v>
      </c>
      <c r="D15" s="8">
        <f>COUNTIFS(Transactions_Model!$K$2:$K$16, A15, Transactions_Model!$N$2:$N$16, "&lt;=0")/B15</f>
        <v>1</v>
      </c>
      <c r="E15" s="8" t="str">
        <f t="shared" ref="E15:E18" si="2">IF(D15&lt;0.8, "High Risk", IF(D15&lt;0.9, "Medium Risk", "Low Risk"))</f>
        <v>Low Risk</v>
      </c>
      <c r="F15" s="7" t="s">
        <v>27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" t="s">
        <v>28</v>
      </c>
      <c r="B16" s="8">
        <f>COUNTIF(Transactions_Model!$K$2:$K$16, A16)</f>
        <v>4</v>
      </c>
      <c r="C16" s="8">
        <f>AVERAGEIF(Transactions_Model!$K$2:$K$16, A16, Transactions_Model!$L$2:$L$16)</f>
        <v>3</v>
      </c>
      <c r="D16" s="8">
        <f>COUNTIFS(Transactions_Model!$K$2:$K$16, A16, Transactions_Model!$N$2:$N$16, "&lt;=0")/B16</f>
        <v>0.75</v>
      </c>
      <c r="E16" s="8" t="str">
        <f t="shared" si="2"/>
        <v>High Risk</v>
      </c>
      <c r="F16" s="7" t="s">
        <v>29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 t="s">
        <v>30</v>
      </c>
      <c r="B17" s="8">
        <f>COUNTIF(Transactions_Model!$K$2:$K$16, A17)</f>
        <v>3</v>
      </c>
      <c r="C17" s="8">
        <f>AVERAGEIF(Transactions_Model!$K$2:$K$16, A17, Transactions_Model!$L$2:$L$16)</f>
        <v>4.333333333</v>
      </c>
      <c r="D17" s="8">
        <f>COUNTIFS(Transactions_Model!$K$2:$K$16, A17, Transactions_Model!$N$2:$N$16, "&lt;=0")/B17</f>
        <v>0.6666666667</v>
      </c>
      <c r="E17" s="8" t="str">
        <f t="shared" si="2"/>
        <v>High Risk</v>
      </c>
      <c r="F17" s="7" t="s">
        <v>31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 t="s">
        <v>32</v>
      </c>
      <c r="B18" s="8">
        <f>COUNTIF(Transactions_Model!$K$2:$K$16, A18)</f>
        <v>3</v>
      </c>
      <c r="C18" s="8">
        <f>AVERAGEIF(Transactions_Model!$K$2:$K$16, A18, Transactions_Model!$L$2:$L$16)</f>
        <v>6</v>
      </c>
      <c r="D18" s="8">
        <f>COUNTIFS(Transactions_Model!$K$2:$K$16, A18, Transactions_Model!$N$2:$N$16, "&lt;=0")/B18</f>
        <v>0.3333333333</v>
      </c>
      <c r="E18" s="8" t="str">
        <f t="shared" si="2"/>
        <v>High Risk</v>
      </c>
      <c r="F18" s="7" t="s">
        <v>33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34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35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36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37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9.88"/>
    <col customWidth="1" min="3" max="3" width="11.75"/>
    <col customWidth="1" min="4" max="4" width="7.13"/>
    <col customWidth="1" min="5" max="5" width="12.75"/>
    <col customWidth="1" min="6" max="6" width="9.5"/>
    <col customWidth="1" min="7" max="7" width="12.88"/>
    <col customWidth="1" min="8" max="8" width="8.75"/>
    <col customWidth="1" min="9" max="9" width="12.13"/>
    <col customWidth="1" min="10" max="10" width="11.38"/>
    <col customWidth="1" min="11" max="11" width="14.38"/>
    <col customWidth="1" min="12" max="12" width="11.25"/>
    <col customWidth="1" min="13" max="13" width="13.38"/>
    <col customWidth="1" min="14" max="14" width="13.25"/>
    <col customWidth="1" min="15" max="15" width="11.5"/>
    <col customWidth="1" min="16" max="16" width="10.88"/>
    <col customWidth="1" min="17" max="17" width="18.63"/>
  </cols>
  <sheetData>
    <row r="1">
      <c r="A1" s="6" t="s">
        <v>38</v>
      </c>
      <c r="B1" s="6" t="s">
        <v>39</v>
      </c>
      <c r="C1" s="6" t="s">
        <v>8</v>
      </c>
      <c r="D1" s="6" t="s">
        <v>40</v>
      </c>
      <c r="E1" s="6" t="s">
        <v>41</v>
      </c>
      <c r="F1" s="6" t="s">
        <v>42</v>
      </c>
      <c r="G1" s="6" t="s">
        <v>43</v>
      </c>
      <c r="H1" s="6" t="s">
        <v>44</v>
      </c>
      <c r="I1" s="6" t="s">
        <v>45</v>
      </c>
      <c r="J1" s="6" t="s">
        <v>46</v>
      </c>
      <c r="K1" s="6" t="s">
        <v>47</v>
      </c>
      <c r="L1" s="6" t="s">
        <v>48</v>
      </c>
      <c r="M1" s="6" t="s">
        <v>49</v>
      </c>
      <c r="N1" s="6" t="s">
        <v>50</v>
      </c>
      <c r="O1" s="6" t="s">
        <v>51</v>
      </c>
      <c r="P1" s="6" t="s">
        <v>52</v>
      </c>
      <c r="Q1" s="6" t="s">
        <v>53</v>
      </c>
      <c r="R1" s="2"/>
      <c r="S1" s="2"/>
      <c r="T1" s="2"/>
      <c r="U1" s="2"/>
      <c r="V1" s="2"/>
      <c r="W1" s="2"/>
      <c r="X1" s="2"/>
      <c r="Y1" s="2"/>
      <c r="Z1" s="2"/>
    </row>
    <row r="2">
      <c r="A2" s="7" t="s">
        <v>54</v>
      </c>
      <c r="B2" s="9">
        <v>45200.0</v>
      </c>
      <c r="C2" s="7" t="s">
        <v>14</v>
      </c>
      <c r="D2" s="7" t="s">
        <v>55</v>
      </c>
      <c r="E2" s="8" t="str">
        <f t="array" ref="E2">_xlfn.XLOOKUP(D2, Lookup_Dimensions!$A$2:$A$8, Lookup_Dimensions!$B$2:$B$8, "Unknown")</f>
        <v>Electronics</v>
      </c>
      <c r="F2" s="10">
        <v>2.0</v>
      </c>
      <c r="G2" s="10">
        <v>39.99</v>
      </c>
      <c r="H2" s="8">
        <f t="array" ref="H2">_xlfn.XLOOKUP(D2, Lookup_Dimensions!$A$2:$A$8, Lookup_Dimensions!$D$2:$D$8, 0)</f>
        <v>18.5</v>
      </c>
      <c r="I2" s="10">
        <v>0.0</v>
      </c>
      <c r="J2" s="7" t="s">
        <v>56</v>
      </c>
      <c r="K2" s="7" t="s">
        <v>26</v>
      </c>
      <c r="L2" s="10">
        <v>2.0</v>
      </c>
      <c r="M2" s="8">
        <f t="array" ref="M2">_xlfn.XLOOKUP(K2, Lookup_Dimensions!$H$2:$H$5, Lookup_Dimensions!$J$2:$J$5, 0)</f>
        <v>2</v>
      </c>
      <c r="N2" s="8">
        <f t="shared" ref="N2:N16" si="1">L2-M2</f>
        <v>0</v>
      </c>
      <c r="O2" s="8">
        <f t="shared" ref="O2:O16" si="2">IF(J2="Returned", 0, F2*G2 - I2)</f>
        <v>79.98</v>
      </c>
      <c r="P2" s="8">
        <f t="shared" ref="P2:P16" si="3">O2 - (F2*H2)</f>
        <v>42.98</v>
      </c>
      <c r="Q2" s="7" t="s">
        <v>57</v>
      </c>
      <c r="R2" s="2"/>
      <c r="S2" s="2"/>
      <c r="T2" s="2"/>
      <c r="U2" s="2"/>
      <c r="V2" s="2"/>
      <c r="W2" s="2"/>
      <c r="X2" s="2"/>
      <c r="Y2" s="2"/>
      <c r="Z2" s="2"/>
    </row>
    <row r="3">
      <c r="A3" s="7" t="s">
        <v>58</v>
      </c>
      <c r="B3" s="9">
        <v>45201.0</v>
      </c>
      <c r="C3" s="7" t="s">
        <v>16</v>
      </c>
      <c r="D3" s="7" t="s">
        <v>59</v>
      </c>
      <c r="E3" s="8" t="str">
        <f t="array" ref="E3">_xlfn.XLOOKUP(D3, Lookup_Dimensions!$A$2:$A$8, Lookup_Dimensions!$B$2:$B$8, "Unknown")</f>
        <v>Electronics</v>
      </c>
      <c r="F3" s="10">
        <v>1.0</v>
      </c>
      <c r="G3" s="10">
        <v>89.99</v>
      </c>
      <c r="H3" s="8">
        <f t="array" ref="H3">_xlfn.XLOOKUP(D3, Lookup_Dimensions!$A$2:$A$8, Lookup_Dimensions!$D$2:$D$8, 0)</f>
        <v>42</v>
      </c>
      <c r="I3" s="10">
        <v>10.0</v>
      </c>
      <c r="J3" s="7" t="s">
        <v>56</v>
      </c>
      <c r="K3" s="7" t="s">
        <v>28</v>
      </c>
      <c r="L3" s="10">
        <v>4.0</v>
      </c>
      <c r="M3" s="8">
        <f t="array" ref="M3">_xlfn.XLOOKUP(K3, Lookup_Dimensions!$H$2:$H$5, Lookup_Dimensions!$J$2:$J$5, 0)</f>
        <v>3</v>
      </c>
      <c r="N3" s="8">
        <f t="shared" si="1"/>
        <v>1</v>
      </c>
      <c r="O3" s="8">
        <f t="shared" si="2"/>
        <v>79.99</v>
      </c>
      <c r="P3" s="8">
        <f t="shared" si="3"/>
        <v>37.99</v>
      </c>
      <c r="Q3" s="7" t="s">
        <v>60</v>
      </c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61</v>
      </c>
      <c r="B4" s="9">
        <v>45202.0</v>
      </c>
      <c r="C4" s="7" t="s">
        <v>18</v>
      </c>
      <c r="D4" s="7" t="s">
        <v>62</v>
      </c>
      <c r="E4" s="8" t="str">
        <f t="array" ref="E4">_xlfn.XLOOKUP(D4, Lookup_Dimensions!$A$2:$A$8, Lookup_Dimensions!$B$2:$B$8, "Unknown")</f>
        <v>Home &amp; Storage</v>
      </c>
      <c r="F4" s="10">
        <v>50.0</v>
      </c>
      <c r="G4" s="10">
        <v>34.0</v>
      </c>
      <c r="H4" s="8">
        <f t="array" ref="H4">_xlfn.XLOOKUP(D4, Lookup_Dimensions!$A$2:$A$8, Lookup_Dimensions!$D$2:$D$8, 0)</f>
        <v>14</v>
      </c>
      <c r="I4" s="10">
        <v>100.0</v>
      </c>
      <c r="J4" s="7" t="s">
        <v>56</v>
      </c>
      <c r="K4" s="7" t="s">
        <v>30</v>
      </c>
      <c r="L4" s="10">
        <v>4.0</v>
      </c>
      <c r="M4" s="8">
        <f t="array" ref="M4">_xlfn.XLOOKUP(K4, Lookup_Dimensions!$H$2:$H$5, Lookup_Dimensions!$J$2:$J$5, 0)</f>
        <v>4</v>
      </c>
      <c r="N4" s="8">
        <f t="shared" si="1"/>
        <v>0</v>
      </c>
      <c r="O4" s="8">
        <f t="shared" si="2"/>
        <v>1600</v>
      </c>
      <c r="P4" s="8">
        <f t="shared" si="3"/>
        <v>900</v>
      </c>
      <c r="Q4" s="7" t="s">
        <v>63</v>
      </c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64</v>
      </c>
      <c r="B5" s="9">
        <v>45203.0</v>
      </c>
      <c r="C5" s="7" t="s">
        <v>14</v>
      </c>
      <c r="D5" s="7" t="s">
        <v>65</v>
      </c>
      <c r="E5" s="8" t="str">
        <f t="array" ref="E5">_xlfn.XLOOKUP(D5, Lookup_Dimensions!$A$2:$A$8, Lookup_Dimensions!$B$2:$B$8, "Unknown")</f>
        <v>Apparel</v>
      </c>
      <c r="F5" s="10">
        <v>1.0</v>
      </c>
      <c r="G5" s="10">
        <v>45.0</v>
      </c>
      <c r="H5" s="8">
        <f t="array" ref="H5">_xlfn.XLOOKUP(D5, Lookup_Dimensions!$A$2:$A$8, Lookup_Dimensions!$D$2:$D$8, 0)</f>
        <v>15</v>
      </c>
      <c r="I5" s="10">
        <v>0.0</v>
      </c>
      <c r="J5" s="7" t="s">
        <v>66</v>
      </c>
      <c r="K5" s="7" t="s">
        <v>26</v>
      </c>
      <c r="L5" s="10">
        <v>2.0</v>
      </c>
      <c r="M5" s="8">
        <f t="array" ref="M5">_xlfn.XLOOKUP(K5, Lookup_Dimensions!$H$2:$H$5, Lookup_Dimensions!$J$2:$J$5, 0)</f>
        <v>2</v>
      </c>
      <c r="N5" s="8">
        <f t="shared" si="1"/>
        <v>0</v>
      </c>
      <c r="O5" s="8">
        <f t="shared" si="2"/>
        <v>0</v>
      </c>
      <c r="P5" s="8">
        <f t="shared" si="3"/>
        <v>-15</v>
      </c>
      <c r="Q5" s="7" t="s">
        <v>67</v>
      </c>
      <c r="R5" s="2"/>
      <c r="S5" s="2"/>
      <c r="T5" s="2"/>
      <c r="U5" s="2"/>
      <c r="V5" s="2"/>
      <c r="W5" s="2"/>
      <c r="X5" s="2"/>
      <c r="Y5" s="2"/>
      <c r="Z5" s="2"/>
    </row>
    <row r="6">
      <c r="A6" s="7" t="s">
        <v>68</v>
      </c>
      <c r="B6" s="9">
        <v>45204.0</v>
      </c>
      <c r="C6" s="7" t="s">
        <v>16</v>
      </c>
      <c r="D6" s="7" t="s">
        <v>69</v>
      </c>
      <c r="E6" s="8" t="str">
        <f t="array" ref="E6">_xlfn.XLOOKUP(D6, Lookup_Dimensions!$A$2:$A$8, Lookup_Dimensions!$B$2:$B$8, "Unknown")</f>
        <v>Apparel</v>
      </c>
      <c r="F6" s="10">
        <v>3.0</v>
      </c>
      <c r="G6" s="10">
        <v>24.99</v>
      </c>
      <c r="H6" s="8">
        <f t="array" ref="H6">_xlfn.XLOOKUP(D6, Lookup_Dimensions!$A$2:$A$8, Lookup_Dimensions!$D$2:$D$8, 0)</f>
        <v>8.5</v>
      </c>
      <c r="I6" s="10">
        <v>5.0</v>
      </c>
      <c r="J6" s="7" t="s">
        <v>56</v>
      </c>
      <c r="K6" s="7" t="s">
        <v>32</v>
      </c>
      <c r="L6" s="10">
        <v>6.0</v>
      </c>
      <c r="M6" s="8">
        <f t="array" ref="M6">_xlfn.XLOOKUP(K6, Lookup_Dimensions!$H$2:$H$5, Lookup_Dimensions!$J$2:$J$5, 0)</f>
        <v>5</v>
      </c>
      <c r="N6" s="8">
        <f t="shared" si="1"/>
        <v>1</v>
      </c>
      <c r="O6" s="8">
        <f t="shared" si="2"/>
        <v>69.97</v>
      </c>
      <c r="P6" s="8">
        <f t="shared" si="3"/>
        <v>44.47</v>
      </c>
      <c r="Q6" s="7" t="s">
        <v>70</v>
      </c>
      <c r="R6" s="2"/>
      <c r="S6" s="2"/>
      <c r="T6" s="2"/>
      <c r="U6" s="2"/>
      <c r="V6" s="2"/>
      <c r="W6" s="2"/>
      <c r="X6" s="2"/>
      <c r="Y6" s="2"/>
      <c r="Z6" s="2"/>
    </row>
    <row r="7">
      <c r="A7" s="7" t="s">
        <v>71</v>
      </c>
      <c r="B7" s="9">
        <v>45205.0</v>
      </c>
      <c r="C7" s="7" t="s">
        <v>14</v>
      </c>
      <c r="D7" s="7" t="s">
        <v>72</v>
      </c>
      <c r="E7" s="8" t="str">
        <f t="array" ref="E7">_xlfn.XLOOKUP(D7, Lookup_Dimensions!$A$2:$A$8, Lookup_Dimensions!$B$2:$B$8, "Unknown")</f>
        <v>Logistics &amp; Gear</v>
      </c>
      <c r="F7" s="10">
        <v>1.0</v>
      </c>
      <c r="G7" s="10">
        <v>54.99</v>
      </c>
      <c r="H7" s="8">
        <f t="array" ref="H7">_xlfn.XLOOKUP(D7, Lookup_Dimensions!$A$2:$A$8, Lookup_Dimensions!$D$2:$D$8, 0)</f>
        <v>22</v>
      </c>
      <c r="I7" s="10">
        <v>0.0</v>
      </c>
      <c r="J7" s="7" t="s">
        <v>73</v>
      </c>
      <c r="K7" s="7" t="s">
        <v>28</v>
      </c>
      <c r="L7" s="10">
        <v>3.0</v>
      </c>
      <c r="M7" s="8">
        <f t="array" ref="M7">_xlfn.XLOOKUP(K7, Lookup_Dimensions!$H$2:$H$5, Lookup_Dimensions!$J$2:$J$5, 0)</f>
        <v>3</v>
      </c>
      <c r="N7" s="8">
        <f t="shared" si="1"/>
        <v>0</v>
      </c>
      <c r="O7" s="8">
        <f t="shared" si="2"/>
        <v>54.99</v>
      </c>
      <c r="P7" s="8">
        <f t="shared" si="3"/>
        <v>32.99</v>
      </c>
      <c r="Q7" s="7" t="s">
        <v>74</v>
      </c>
      <c r="R7" s="2"/>
      <c r="S7" s="2"/>
      <c r="T7" s="2"/>
      <c r="U7" s="2"/>
      <c r="V7" s="2"/>
      <c r="W7" s="2"/>
      <c r="X7" s="2"/>
      <c r="Y7" s="2"/>
      <c r="Z7" s="2"/>
    </row>
    <row r="8">
      <c r="A8" s="7" t="s">
        <v>75</v>
      </c>
      <c r="B8" s="9">
        <v>45206.0</v>
      </c>
      <c r="C8" s="7" t="s">
        <v>18</v>
      </c>
      <c r="D8" s="7" t="s">
        <v>55</v>
      </c>
      <c r="E8" s="8" t="str">
        <f t="array" ref="E8">_xlfn.XLOOKUP(D8, Lookup_Dimensions!$A$2:$A$8, Lookup_Dimensions!$B$2:$B$8, "Unknown")</f>
        <v>Electronics</v>
      </c>
      <c r="F8" s="10">
        <v>20.0</v>
      </c>
      <c r="G8" s="10">
        <v>39.99</v>
      </c>
      <c r="H8" s="8">
        <f t="array" ref="H8">_xlfn.XLOOKUP(D8, Lookup_Dimensions!$A$2:$A$8, Lookup_Dimensions!$D$2:$D$8, 0)</f>
        <v>18.5</v>
      </c>
      <c r="I8" s="10">
        <v>50.0</v>
      </c>
      <c r="J8" s="7" t="s">
        <v>56</v>
      </c>
      <c r="K8" s="7" t="s">
        <v>26</v>
      </c>
      <c r="L8" s="10">
        <v>1.0</v>
      </c>
      <c r="M8" s="8">
        <f t="array" ref="M8">_xlfn.XLOOKUP(K8, Lookup_Dimensions!$H$2:$H$5, Lookup_Dimensions!$J$2:$J$5, 0)</f>
        <v>2</v>
      </c>
      <c r="N8" s="8">
        <f t="shared" si="1"/>
        <v>-1</v>
      </c>
      <c r="O8" s="8">
        <f t="shared" si="2"/>
        <v>749.8</v>
      </c>
      <c r="P8" s="8">
        <f t="shared" si="3"/>
        <v>379.8</v>
      </c>
      <c r="Q8" s="7" t="s">
        <v>76</v>
      </c>
      <c r="R8" s="2"/>
      <c r="S8" s="2"/>
      <c r="T8" s="2"/>
      <c r="U8" s="2"/>
      <c r="V8" s="2"/>
      <c r="W8" s="2"/>
      <c r="X8" s="2"/>
      <c r="Y8" s="2"/>
      <c r="Z8" s="2"/>
    </row>
    <row r="9">
      <c r="A9" s="7" t="s">
        <v>77</v>
      </c>
      <c r="B9" s="9">
        <v>45207.0</v>
      </c>
      <c r="C9" s="7" t="s">
        <v>16</v>
      </c>
      <c r="D9" s="7" t="s">
        <v>78</v>
      </c>
      <c r="E9" s="8" t="str">
        <f t="array" ref="E9">_xlfn.XLOOKUP(D9, Lookup_Dimensions!$A$2:$A$8, Lookup_Dimensions!$B$2:$B$8, "Unknown")</f>
        <v>Logistics &amp; Gear</v>
      </c>
      <c r="F9" s="10">
        <v>2.0</v>
      </c>
      <c r="G9" s="10">
        <v>22.5</v>
      </c>
      <c r="H9" s="8">
        <f t="array" ref="H9">_xlfn.XLOOKUP(D9, Lookup_Dimensions!$A$2:$A$8, Lookup_Dimensions!$D$2:$D$8, 0)</f>
        <v>9</v>
      </c>
      <c r="I9" s="10">
        <v>0.0</v>
      </c>
      <c r="J9" s="7" t="s">
        <v>56</v>
      </c>
      <c r="K9" s="7" t="s">
        <v>30</v>
      </c>
      <c r="L9" s="10">
        <v>5.0</v>
      </c>
      <c r="M9" s="8">
        <f t="array" ref="M9">_xlfn.XLOOKUP(K9, Lookup_Dimensions!$H$2:$H$5, Lookup_Dimensions!$J$2:$J$5, 0)</f>
        <v>4</v>
      </c>
      <c r="N9" s="8">
        <f t="shared" si="1"/>
        <v>1</v>
      </c>
      <c r="O9" s="8">
        <f t="shared" si="2"/>
        <v>45</v>
      </c>
      <c r="P9" s="8">
        <f t="shared" si="3"/>
        <v>27</v>
      </c>
      <c r="Q9" s="7" t="s">
        <v>79</v>
      </c>
      <c r="R9" s="2"/>
      <c r="S9" s="2"/>
      <c r="T9" s="2"/>
      <c r="U9" s="2"/>
      <c r="V9" s="2"/>
      <c r="W9" s="2"/>
      <c r="X9" s="2"/>
      <c r="Y9" s="2"/>
      <c r="Z9" s="2"/>
    </row>
    <row r="10">
      <c r="A10" s="7" t="s">
        <v>80</v>
      </c>
      <c r="B10" s="9">
        <v>45208.0</v>
      </c>
      <c r="C10" s="7" t="s">
        <v>14</v>
      </c>
      <c r="D10" s="7" t="s">
        <v>59</v>
      </c>
      <c r="E10" s="8" t="str">
        <f t="array" ref="E10">_xlfn.XLOOKUP(D10, Lookup_Dimensions!$A$2:$A$8, Lookup_Dimensions!$B$2:$B$8, "Unknown")</f>
        <v>Electronics</v>
      </c>
      <c r="F10" s="10">
        <v>1.0</v>
      </c>
      <c r="G10" s="10">
        <v>89.99</v>
      </c>
      <c r="H10" s="8">
        <f t="array" ref="H10">_xlfn.XLOOKUP(D10, Lookup_Dimensions!$A$2:$A$8, Lookup_Dimensions!$D$2:$D$8, 0)</f>
        <v>42</v>
      </c>
      <c r="I10" s="10">
        <v>15.0</v>
      </c>
      <c r="J10" s="7" t="s">
        <v>66</v>
      </c>
      <c r="K10" s="7" t="s">
        <v>32</v>
      </c>
      <c r="L10" s="10">
        <v>5.0</v>
      </c>
      <c r="M10" s="8">
        <f t="array" ref="M10">_xlfn.XLOOKUP(K10, Lookup_Dimensions!$H$2:$H$5, Lookup_Dimensions!$J$2:$J$5, 0)</f>
        <v>5</v>
      </c>
      <c r="N10" s="8">
        <f t="shared" si="1"/>
        <v>0</v>
      </c>
      <c r="O10" s="8">
        <f t="shared" si="2"/>
        <v>0</v>
      </c>
      <c r="P10" s="8">
        <f t="shared" si="3"/>
        <v>-42</v>
      </c>
      <c r="Q10" s="7" t="s">
        <v>81</v>
      </c>
      <c r="R10" s="2"/>
      <c r="S10" s="2"/>
      <c r="T10" s="2"/>
      <c r="U10" s="2"/>
      <c r="V10" s="2"/>
      <c r="W10" s="2"/>
      <c r="X10" s="2"/>
      <c r="Y10" s="2"/>
      <c r="Z10" s="2"/>
    </row>
    <row r="11">
      <c r="A11" s="7" t="s">
        <v>82</v>
      </c>
      <c r="B11" s="9">
        <v>45209.0</v>
      </c>
      <c r="C11" s="7" t="s">
        <v>18</v>
      </c>
      <c r="D11" s="7" t="s">
        <v>62</v>
      </c>
      <c r="E11" s="8" t="str">
        <f t="array" ref="E11">_xlfn.XLOOKUP(D11, Lookup_Dimensions!$A$2:$A$8, Lookup_Dimensions!$B$2:$B$8, "Unknown")</f>
        <v>Home &amp; Storage</v>
      </c>
      <c r="F11" s="10">
        <v>100.0</v>
      </c>
      <c r="G11" s="10">
        <v>34.0</v>
      </c>
      <c r="H11" s="8">
        <f t="array" ref="H11">_xlfn.XLOOKUP(D11, Lookup_Dimensions!$A$2:$A$8, Lookup_Dimensions!$D$2:$D$8, 0)</f>
        <v>14</v>
      </c>
      <c r="I11" s="10">
        <v>200.0</v>
      </c>
      <c r="J11" s="7" t="s">
        <v>56</v>
      </c>
      <c r="K11" s="7" t="s">
        <v>28</v>
      </c>
      <c r="L11" s="10">
        <v>3.0</v>
      </c>
      <c r="M11" s="8">
        <f t="array" ref="M11">_xlfn.XLOOKUP(K11, Lookup_Dimensions!$H$2:$H$5, Lookup_Dimensions!$J$2:$J$5, 0)</f>
        <v>3</v>
      </c>
      <c r="N11" s="8">
        <f t="shared" si="1"/>
        <v>0</v>
      </c>
      <c r="O11" s="8">
        <f t="shared" si="2"/>
        <v>3200</v>
      </c>
      <c r="P11" s="8">
        <f t="shared" si="3"/>
        <v>1800</v>
      </c>
      <c r="Q11" s="7" t="s">
        <v>83</v>
      </c>
      <c r="R11" s="2"/>
      <c r="S11" s="2"/>
      <c r="T11" s="2"/>
      <c r="U11" s="2"/>
      <c r="V11" s="2"/>
      <c r="W11" s="2"/>
      <c r="X11" s="2"/>
      <c r="Y11" s="2"/>
      <c r="Z11" s="2"/>
    </row>
    <row r="12">
      <c r="A12" s="7" t="s">
        <v>84</v>
      </c>
      <c r="B12" s="9">
        <v>45210.0</v>
      </c>
      <c r="C12" s="7" t="s">
        <v>16</v>
      </c>
      <c r="D12" s="7" t="s">
        <v>65</v>
      </c>
      <c r="E12" s="8" t="str">
        <f t="array" ref="E12">_xlfn.XLOOKUP(D12, Lookup_Dimensions!$A$2:$A$8, Lookup_Dimensions!$B$2:$B$8, "Unknown")</f>
        <v>Apparel</v>
      </c>
      <c r="F12" s="10">
        <v>2.0</v>
      </c>
      <c r="G12" s="10">
        <v>45.0</v>
      </c>
      <c r="H12" s="8">
        <f t="array" ref="H12">_xlfn.XLOOKUP(D12, Lookup_Dimensions!$A$2:$A$8, Lookup_Dimensions!$D$2:$D$8, 0)</f>
        <v>15</v>
      </c>
      <c r="I12" s="10">
        <v>0.0</v>
      </c>
      <c r="J12" s="7" t="s">
        <v>56</v>
      </c>
      <c r="K12" s="7" t="s">
        <v>26</v>
      </c>
      <c r="L12" s="10">
        <v>2.0</v>
      </c>
      <c r="M12" s="8">
        <f t="array" ref="M12">_xlfn.XLOOKUP(K12, Lookup_Dimensions!$H$2:$H$5, Lookup_Dimensions!$J$2:$J$5, 0)</f>
        <v>2</v>
      </c>
      <c r="N12" s="8">
        <f t="shared" si="1"/>
        <v>0</v>
      </c>
      <c r="O12" s="8">
        <f t="shared" si="2"/>
        <v>90</v>
      </c>
      <c r="P12" s="8">
        <f t="shared" si="3"/>
        <v>60</v>
      </c>
      <c r="Q12" s="7" t="s">
        <v>85</v>
      </c>
      <c r="R12" s="2"/>
      <c r="S12" s="2"/>
      <c r="T12" s="2"/>
      <c r="U12" s="2"/>
      <c r="V12" s="2"/>
      <c r="W12" s="2"/>
      <c r="X12" s="2"/>
      <c r="Y12" s="2"/>
      <c r="Z12" s="2"/>
    </row>
    <row r="13">
      <c r="A13" s="7" t="s">
        <v>86</v>
      </c>
      <c r="B13" s="9">
        <v>45211.0</v>
      </c>
      <c r="C13" s="7" t="s">
        <v>14</v>
      </c>
      <c r="D13" s="7" t="s">
        <v>69</v>
      </c>
      <c r="E13" s="8" t="str">
        <f t="array" ref="E13">_xlfn.XLOOKUP(D13, Lookup_Dimensions!$A$2:$A$8, Lookup_Dimensions!$B$2:$B$8, "Unknown")</f>
        <v>Apparel</v>
      </c>
      <c r="F13" s="10">
        <v>4.0</v>
      </c>
      <c r="G13" s="10">
        <v>24.99</v>
      </c>
      <c r="H13" s="8">
        <f t="array" ref="H13">_xlfn.XLOOKUP(D13, Lookup_Dimensions!$A$2:$A$8, Lookup_Dimensions!$D$2:$D$8, 0)</f>
        <v>8.5</v>
      </c>
      <c r="I13" s="10">
        <v>10.0</v>
      </c>
      <c r="J13" s="7" t="s">
        <v>73</v>
      </c>
      <c r="K13" s="7" t="s">
        <v>30</v>
      </c>
      <c r="L13" s="10">
        <v>4.0</v>
      </c>
      <c r="M13" s="8">
        <f t="array" ref="M13">_xlfn.XLOOKUP(K13, Lookup_Dimensions!$H$2:$H$5, Lookup_Dimensions!$J$2:$J$5, 0)</f>
        <v>4</v>
      </c>
      <c r="N13" s="8">
        <f t="shared" si="1"/>
        <v>0</v>
      </c>
      <c r="O13" s="8">
        <f t="shared" si="2"/>
        <v>89.96</v>
      </c>
      <c r="P13" s="8">
        <f t="shared" si="3"/>
        <v>55.96</v>
      </c>
      <c r="Q13" s="7" t="s">
        <v>74</v>
      </c>
      <c r="R13" s="2"/>
      <c r="S13" s="2"/>
      <c r="T13" s="2"/>
      <c r="U13" s="2"/>
      <c r="V13" s="2"/>
      <c r="W13" s="2"/>
      <c r="X13" s="2"/>
      <c r="Y13" s="2"/>
      <c r="Z13" s="2"/>
    </row>
    <row r="14">
      <c r="A14" s="7" t="s">
        <v>87</v>
      </c>
      <c r="B14" s="9">
        <v>45212.0</v>
      </c>
      <c r="C14" s="7" t="s">
        <v>16</v>
      </c>
      <c r="D14" s="7" t="s">
        <v>72</v>
      </c>
      <c r="E14" s="8" t="str">
        <f t="array" ref="E14">_xlfn.XLOOKUP(D14, Lookup_Dimensions!$A$2:$A$8, Lookup_Dimensions!$B$2:$B$8, "Unknown")</f>
        <v>Logistics &amp; Gear</v>
      </c>
      <c r="F14" s="10">
        <v>1.0</v>
      </c>
      <c r="G14" s="10">
        <v>54.99</v>
      </c>
      <c r="H14" s="8">
        <f t="array" ref="H14">_xlfn.XLOOKUP(D14, Lookup_Dimensions!$A$2:$A$8, Lookup_Dimensions!$D$2:$D$8, 0)</f>
        <v>22</v>
      </c>
      <c r="I14" s="10">
        <v>0.0</v>
      </c>
      <c r="J14" s="7" t="s">
        <v>56</v>
      </c>
      <c r="K14" s="7" t="s">
        <v>32</v>
      </c>
      <c r="L14" s="10">
        <v>7.0</v>
      </c>
      <c r="M14" s="8">
        <f t="array" ref="M14">_xlfn.XLOOKUP(K14, Lookup_Dimensions!$H$2:$H$5, Lookup_Dimensions!$J$2:$J$5, 0)</f>
        <v>5</v>
      </c>
      <c r="N14" s="8">
        <f t="shared" si="1"/>
        <v>2</v>
      </c>
      <c r="O14" s="8">
        <f t="shared" si="2"/>
        <v>54.99</v>
      </c>
      <c r="P14" s="8">
        <f t="shared" si="3"/>
        <v>32.99</v>
      </c>
      <c r="Q14" s="7" t="s">
        <v>88</v>
      </c>
      <c r="R14" s="2"/>
      <c r="S14" s="2"/>
      <c r="T14" s="2"/>
      <c r="U14" s="2"/>
      <c r="V14" s="2"/>
      <c r="W14" s="2"/>
      <c r="X14" s="2"/>
      <c r="Y14" s="2"/>
      <c r="Z14" s="2"/>
    </row>
    <row r="15">
      <c r="A15" s="7" t="s">
        <v>89</v>
      </c>
      <c r="B15" s="9">
        <v>45213.0</v>
      </c>
      <c r="C15" s="7" t="s">
        <v>14</v>
      </c>
      <c r="D15" s="7" t="s">
        <v>78</v>
      </c>
      <c r="E15" s="8" t="str">
        <f t="array" ref="E15">_xlfn.XLOOKUP(D15, Lookup_Dimensions!$A$2:$A$8, Lookup_Dimensions!$B$2:$B$8, "Unknown")</f>
        <v>Logistics &amp; Gear</v>
      </c>
      <c r="F15" s="10">
        <v>3.0</v>
      </c>
      <c r="G15" s="10">
        <v>22.5</v>
      </c>
      <c r="H15" s="8">
        <f t="array" ref="H15">_xlfn.XLOOKUP(D15, Lookup_Dimensions!$A$2:$A$8, Lookup_Dimensions!$D$2:$D$8, 0)</f>
        <v>9</v>
      </c>
      <c r="I15" s="10">
        <v>5.0</v>
      </c>
      <c r="J15" s="7" t="s">
        <v>56</v>
      </c>
      <c r="K15" s="7" t="s">
        <v>28</v>
      </c>
      <c r="L15" s="10">
        <v>2.0</v>
      </c>
      <c r="M15" s="8">
        <f t="array" ref="M15">_xlfn.XLOOKUP(K15, Lookup_Dimensions!$H$2:$H$5, Lookup_Dimensions!$J$2:$J$5, 0)</f>
        <v>3</v>
      </c>
      <c r="N15" s="8">
        <f t="shared" si="1"/>
        <v>-1</v>
      </c>
      <c r="O15" s="8">
        <f t="shared" si="2"/>
        <v>62.5</v>
      </c>
      <c r="P15" s="8">
        <f t="shared" si="3"/>
        <v>35.5</v>
      </c>
      <c r="Q15" s="7" t="s">
        <v>90</v>
      </c>
      <c r="R15" s="2"/>
      <c r="S15" s="2"/>
      <c r="T15" s="2"/>
      <c r="U15" s="2"/>
      <c r="V15" s="2"/>
      <c r="W15" s="2"/>
      <c r="X15" s="2"/>
      <c r="Y15" s="2"/>
      <c r="Z15" s="2"/>
    </row>
    <row r="16">
      <c r="A16" s="7" t="s">
        <v>91</v>
      </c>
      <c r="B16" s="9">
        <v>45214.0</v>
      </c>
      <c r="C16" s="7" t="s">
        <v>18</v>
      </c>
      <c r="D16" s="7" t="s">
        <v>59</v>
      </c>
      <c r="E16" s="8" t="str">
        <f t="array" ref="E16">_xlfn.XLOOKUP(D16, Lookup_Dimensions!$A$2:$A$8, Lookup_Dimensions!$B$2:$B$8, "Unknown")</f>
        <v>Electronics</v>
      </c>
      <c r="F16" s="10">
        <v>10.0</v>
      </c>
      <c r="G16" s="10">
        <v>89.99</v>
      </c>
      <c r="H16" s="8">
        <f t="array" ref="H16">_xlfn.XLOOKUP(D16, Lookup_Dimensions!$A$2:$A$8, Lookup_Dimensions!$D$2:$D$8, 0)</f>
        <v>42</v>
      </c>
      <c r="I16" s="10">
        <v>50.0</v>
      </c>
      <c r="J16" s="7" t="s">
        <v>56</v>
      </c>
      <c r="K16" s="7" t="s">
        <v>26</v>
      </c>
      <c r="L16" s="10">
        <v>2.0</v>
      </c>
      <c r="M16" s="8">
        <f t="array" ref="M16">_xlfn.XLOOKUP(K16, Lookup_Dimensions!$H$2:$H$5, Lookup_Dimensions!$J$2:$J$5, 0)</f>
        <v>2</v>
      </c>
      <c r="N16" s="8">
        <f t="shared" si="1"/>
        <v>0</v>
      </c>
      <c r="O16" s="8">
        <f t="shared" si="2"/>
        <v>849.9</v>
      </c>
      <c r="P16" s="8">
        <f t="shared" si="3"/>
        <v>429.9</v>
      </c>
      <c r="Q16" s="7" t="s">
        <v>92</v>
      </c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2.25"/>
    <col customWidth="1" min="2" max="2" width="12.75"/>
    <col customWidth="1" min="3" max="3" width="24.38"/>
    <col customWidth="1" min="4" max="4" width="8.75"/>
    <col customWidth="1" min="5" max="5" width="13.13"/>
    <col customWidth="1" min="6" max="6" width="21.88"/>
    <col customWidth="1" min="8" max="8" width="11.5"/>
    <col customWidth="1" min="9" max="9" width="14.13"/>
    <col customWidth="1" min="10" max="10" width="14.88"/>
    <col customWidth="1" min="11" max="11" width="20.25"/>
  </cols>
  <sheetData>
    <row r="1">
      <c r="A1" s="6" t="s">
        <v>40</v>
      </c>
      <c r="B1" s="6" t="s">
        <v>41</v>
      </c>
      <c r="C1" s="6" t="s">
        <v>93</v>
      </c>
      <c r="D1" s="6" t="s">
        <v>44</v>
      </c>
      <c r="E1" s="6" t="s">
        <v>94</v>
      </c>
      <c r="F1" s="6" t="s">
        <v>95</v>
      </c>
      <c r="G1" s="2"/>
      <c r="H1" s="6" t="s">
        <v>96</v>
      </c>
      <c r="I1" s="6" t="s">
        <v>97</v>
      </c>
      <c r="J1" s="6" t="s">
        <v>98</v>
      </c>
      <c r="K1" s="6" t="s">
        <v>99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7" t="s">
        <v>55</v>
      </c>
      <c r="B2" s="7" t="s">
        <v>100</v>
      </c>
      <c r="C2" s="7" t="s">
        <v>101</v>
      </c>
      <c r="D2" s="10">
        <v>18.5</v>
      </c>
      <c r="E2" s="10">
        <v>39.99</v>
      </c>
      <c r="F2" s="10">
        <v>5.0</v>
      </c>
      <c r="G2" s="2"/>
      <c r="H2" s="7" t="s">
        <v>26</v>
      </c>
      <c r="I2" s="7" t="s">
        <v>102</v>
      </c>
      <c r="J2" s="10">
        <v>2.0</v>
      </c>
      <c r="K2" s="10">
        <v>3.5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7" t="s">
        <v>59</v>
      </c>
      <c r="B3" s="7" t="s">
        <v>100</v>
      </c>
      <c r="C3" s="7" t="s">
        <v>103</v>
      </c>
      <c r="D3" s="10">
        <v>42.0</v>
      </c>
      <c r="E3" s="10">
        <v>89.99</v>
      </c>
      <c r="F3" s="10">
        <v>7.0</v>
      </c>
      <c r="G3" s="2"/>
      <c r="H3" s="7" t="s">
        <v>28</v>
      </c>
      <c r="I3" s="7" t="s">
        <v>104</v>
      </c>
      <c r="J3" s="10">
        <v>3.0</v>
      </c>
      <c r="K3" s="10">
        <v>4.5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65</v>
      </c>
      <c r="B4" s="7" t="s">
        <v>105</v>
      </c>
      <c r="C4" s="7" t="s">
        <v>106</v>
      </c>
      <c r="D4" s="10">
        <v>15.0</v>
      </c>
      <c r="E4" s="10">
        <v>45.0</v>
      </c>
      <c r="F4" s="10">
        <v>10.0</v>
      </c>
      <c r="G4" s="2"/>
      <c r="H4" s="7" t="s">
        <v>30</v>
      </c>
      <c r="I4" s="7" t="s">
        <v>107</v>
      </c>
      <c r="J4" s="10">
        <v>4.0</v>
      </c>
      <c r="K4" s="10">
        <v>6.0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69</v>
      </c>
      <c r="B5" s="7" t="s">
        <v>105</v>
      </c>
      <c r="C5" s="7" t="s">
        <v>108</v>
      </c>
      <c r="D5" s="10">
        <v>8.5</v>
      </c>
      <c r="E5" s="10">
        <v>24.99</v>
      </c>
      <c r="F5" s="10">
        <v>10.0</v>
      </c>
      <c r="G5" s="2"/>
      <c r="H5" s="7" t="s">
        <v>32</v>
      </c>
      <c r="I5" s="7" t="s">
        <v>109</v>
      </c>
      <c r="J5" s="10">
        <v>5.0</v>
      </c>
      <c r="K5" s="10">
        <v>7.5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 t="s">
        <v>72</v>
      </c>
      <c r="B6" s="7" t="s">
        <v>110</v>
      </c>
      <c r="C6" s="7" t="s">
        <v>111</v>
      </c>
      <c r="D6" s="10">
        <v>22.0</v>
      </c>
      <c r="E6" s="10">
        <v>54.99</v>
      </c>
      <c r="F6" s="10">
        <v>14.0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 t="s">
        <v>78</v>
      </c>
      <c r="B7" s="7" t="s">
        <v>110</v>
      </c>
      <c r="C7" s="7" t="s">
        <v>112</v>
      </c>
      <c r="D7" s="10">
        <v>9.0</v>
      </c>
      <c r="E7" s="10">
        <v>22.5</v>
      </c>
      <c r="F7" s="10">
        <v>14.0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 t="s">
        <v>62</v>
      </c>
      <c r="B8" s="7" t="s">
        <v>113</v>
      </c>
      <c r="C8" s="7" t="s">
        <v>114</v>
      </c>
      <c r="D8" s="10">
        <v>14.0</v>
      </c>
      <c r="E8" s="10">
        <v>34.0</v>
      </c>
      <c r="F8" s="10">
        <v>20.0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115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116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117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118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119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4.38"/>
    <col customWidth="1" min="2" max="2" width="69.38"/>
  </cols>
  <sheetData>
    <row r="1">
      <c r="A1" s="3" t="s">
        <v>120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121</v>
      </c>
      <c r="B3" s="3" t="s">
        <v>122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123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124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125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126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127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128</v>
      </c>
      <c r="B10" s="3" t="s">
        <v>129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130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131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132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133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127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134</v>
      </c>
      <c r="B17" s="3" t="s">
        <v>135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136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137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138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139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140</v>
      </c>
      <c r="B23" s="3" t="s">
        <v>141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142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143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144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145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drawing r:id="rId1"/>
</worksheet>
</file>